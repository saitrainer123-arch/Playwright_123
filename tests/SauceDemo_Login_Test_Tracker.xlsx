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Test Cases" sheetId="2" r:id="rId2"/>
  </sheets>
  <definedNames>
    <definedName name="_xlnm._FilterDatabase" localSheetId="1">'Test Cases'!A1:J9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2.83203125" customWidth="1"/>
    <col min="2" max="2" width="92.83203125" customWidth="1"/>
  </cols>
  <sheetData>
    <row r="1" ht="30" customHeight="1">
      <c r="A1" t="str">
        <v>SAUCE DEMO LOGIN — LIVE TEST TRACKER</v>
      </c>
    </row>
    <row r="2" ht="22" customHeight="1">
      <c r="A2" t="str">
        <v>Application URL</v>
      </c>
      <c r="B2" t="str">
        <v>https://www.saucedemo.com/</v>
      </c>
    </row>
    <row r="3" ht="22" customHeight="1">
      <c r="A3" t="str">
        <v>Suite</v>
      </c>
      <c r="B3" t="str">
        <v>Login Page and Authentication</v>
      </c>
    </row>
    <row r="4" ht="22" customHeight="1">
      <c r="A4" t="str">
        <v>Last updated</v>
      </c>
      <c r="B4" t="str">
        <v>Edit Status in the Test Cases sheet; this summary recalculates in Excel.</v>
      </c>
    </row>
    <row r="5" ht="22" customHeight="1">
      <c r="A5" t="str">
        <v/>
      </c>
    </row>
    <row r="6" ht="22" customHeight="1">
      <c r="A6" t="str">
        <v>Execution Summary</v>
      </c>
      <c r="B6" t="str">
        <v>Count</v>
      </c>
    </row>
    <row r="7" ht="22" customHeight="1">
      <c r="A7" t="str">
        <v>Total scenarios</v>
      </c>
      <c r="B7">
        <f>COUNTA('Test Cases'!A2:A9)</f>
        <v>8</v>
      </c>
    </row>
    <row r="8" ht="22" customHeight="1">
      <c r="A8" t="str">
        <v>Not Run</v>
      </c>
      <c r="B8">
        <f>COUNTIF('Test Cases'!F2:F9,"Not Run")</f>
        <v>8</v>
      </c>
    </row>
    <row r="9" ht="22" customHeight="1">
      <c r="A9" t="str">
        <v>Passed</v>
      </c>
      <c r="B9">
        <f>COUNTIF('Test Cases'!F2:F9,"Passed")</f>
        <v>0</v>
      </c>
    </row>
    <row r="10" ht="22" customHeight="1">
      <c r="A10" t="str">
        <v>Failed</v>
      </c>
      <c r="B10">
        <f>COUNTIF('Test Cases'!F2:F9,"Failed")</f>
        <v>0</v>
      </c>
    </row>
    <row r="11" ht="22" customHeight="1">
      <c r="A11" t="str">
        <v>Blocked</v>
      </c>
      <c r="B11">
        <f>COUNTIF('Test Cases'!F2:F9,"Blocked")</f>
        <v>0</v>
      </c>
    </row>
    <row r="12" ht="22" customHeight="1">
      <c r="A12" t="str">
        <v>Execution progress</v>
      </c>
      <c r="B12" s="1">
        <f>IFERROR((COUNTIF('Test Cases'!F2:F9,"Passed")+COUNTIF('Test Cases'!F2:F9,"Failed")+COUNTIF('Test Cases'!F2:F9,"Blocked"))/COUNTA('Test Cases'!A2:A9),0)</f>
        <v>0</v>
      </c>
    </row>
    <row r="13" ht="22" customHeight="1">
      <c r="A13" t="str">
        <v/>
      </c>
    </row>
    <row r="14" ht="22" customHeight="1">
      <c r="A14" t="str">
        <v>How to use</v>
      </c>
    </row>
    <row r="15" ht="22" customHeight="1">
      <c r="A15" t="str">
        <v>1</v>
      </c>
      <c r="B15" t="str">
        <v>Run each scenario from the linked Playwright spec or follow its steps.</v>
      </c>
    </row>
    <row r="16" ht="22" customHeight="1">
      <c r="A16" t="str">
        <v>2</v>
      </c>
      <c r="B16" t="str">
        <v>Change Status to Passed, Failed, Blocked, or leave Not Run.</v>
      </c>
    </row>
    <row r="17" ht="22" customHeight="1">
      <c r="A17" t="str">
        <v>3</v>
      </c>
      <c r="B17" t="str">
        <v>Record Actual Result, Executed By, Execution Date, and Defect / Evidence as needed.</v>
      </c>
    </row>
    <row r="18" ht="22" customHeight="1">
      <c r="A18" t="str">
        <v>4</v>
      </c>
      <c r="B18" t="str">
        <v>Summary counts and progress update automatically when Status values change.</v>
      </c>
    </row>
    <row r="19" ht="22" customHeight="1">
      <c r="A19" t="str">
        <v/>
      </c>
    </row>
    <row r="20" ht="22" customHeight="1">
      <c r="A20" t="str">
        <v>Test plan source</v>
      </c>
      <c r="B20" t="str">
        <v>tests/login-page.plan.md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3.83203125" customWidth="1"/>
    <col min="2" max="2" width="48.83203125" customWidth="1"/>
    <col min="3" max="3" width="62.83203125" customWidth="1"/>
    <col min="4" max="4" width="72.83203125" customWidth="1"/>
    <col min="5" max="5" width="46.83203125" customWidth="1"/>
    <col min="6" max="6" width="16.83203125" customWidth="1"/>
    <col min="7" max="7" width="46.83203125" customWidth="1"/>
    <col min="8" max="8" width="20.83203125" customWidth="1"/>
    <col min="9" max="9" width="18.83203125" customWidth="1"/>
    <col min="10" max="10" width="42.83203125" customWidth="1"/>
  </cols>
  <sheetData>
    <row r="1" ht="30" customHeight="1">
      <c r="A1" t="str">
        <v>Case ID</v>
      </c>
      <c r="B1" t="str">
        <v>Scenario</v>
      </c>
      <c r="C1" t="str">
        <v>Test Steps</v>
      </c>
      <c r="D1" t="str">
        <v>Expected Results</v>
      </c>
      <c r="E1" t="str">
        <v>Playwright Spec</v>
      </c>
      <c r="F1" t="str">
        <v>Status</v>
      </c>
      <c r="G1" t="str">
        <v>Actual Result</v>
      </c>
      <c r="H1" t="str">
        <v>Executed By</v>
      </c>
      <c r="I1" t="str">
        <v>Execution Date</v>
      </c>
      <c r="J1" t="str">
        <v>Defect / Evidence</v>
      </c>
    </row>
    <row r="2" ht="72" customHeight="1">
      <c r="A2" t="str">
        <v>LOGIN-001</v>
      </c>
      <c r="B2" t="str">
        <v>Displays the login form and published demo credentials</v>
      </c>
      <c r="C2" t="str">
        <v>Open the login URL in a fresh browser context with no session.</v>
      </c>
      <c r="D2" t="str">
        <v>Title is Swag Labs; login URL remains open; empty Username/Password and Login button are present; password is masked; accepted demo usernames and shared password are displayed.</v>
      </c>
      <c r="E2" t="str">
        <v>tests/login-page/initial-login-page.spec.ts</v>
      </c>
      <c r="F2" t="str">
        <v>Not Run</v>
      </c>
      <c r="G2" t="str">
        <v/>
      </c>
      <c r="H2" t="str">
        <v/>
      </c>
      <c r="I2" t="str">
        <v/>
      </c>
      <c r="J2" t="str">
        <v/>
      </c>
    </row>
    <row r="3" ht="72" customHeight="1">
      <c r="A3" t="str">
        <v>LOGIN-002</v>
      </c>
      <c r="B3" t="str">
        <v>Shows username-required validation when both fields are empty</v>
      </c>
      <c r="C3" t="str">
        <v>Open the login page and click Login without entering either field.</v>
      </c>
      <c r="D3" t="str">
        <v>Stay on login URL; accessible alert says “Epic sadface: Username is required”; form remains available.</v>
      </c>
      <c r="E3" t="str">
        <v>tests/login-page/login-required-fields.spec.ts</v>
      </c>
      <c r="F3" t="str">
        <v>Not Run</v>
      </c>
      <c r="G3" t="str">
        <v/>
      </c>
      <c r="H3" t="str">
        <v/>
      </c>
      <c r="I3" t="str">
        <v/>
      </c>
      <c r="J3" t="str">
        <v/>
      </c>
    </row>
    <row r="4" ht="72" customHeight="1">
      <c r="A4" t="str">
        <v>LOGIN-003</v>
      </c>
      <c r="B4" t="str">
        <v>Shows password-required validation when only username is entered</v>
      </c>
      <c r="C4" t="str">
        <v>Enter standard_user, leave Password empty, and click Login.</v>
      </c>
      <c r="D4" t="str">
        <v>Stay on login URL; accessible alert says “Epic sadface: Password is required”; username remains in the form.</v>
      </c>
      <c r="E4" t="str">
        <v>tests/login-page/password-required.spec.ts</v>
      </c>
      <c r="F4" t="str">
        <v>Not Run</v>
      </c>
      <c r="G4" t="str">
        <v/>
      </c>
      <c r="H4" t="str">
        <v/>
      </c>
      <c r="I4" t="str">
        <v/>
      </c>
      <c r="J4" t="str">
        <v/>
      </c>
    </row>
    <row r="5" ht="72" customHeight="1">
      <c r="A5" t="str">
        <v>LOGIN-004</v>
      </c>
      <c r="B5" t="str">
        <v>Rejects an unknown username or incorrect password</v>
      </c>
      <c r="C5" t="str">
        <v>Enter standard_user with an incorrect password, submit, then dismiss the error.</v>
      </c>
      <c r="D5" t="str">
        <v>Stay on login URL; accessible alert says “Epic sadface: Username and password do not match any user in this service”; dismissing it removes the alert and leaves the form usable.</v>
      </c>
      <c r="E5" t="str">
        <v>tests/login-page/invalid-credentials.spec.ts</v>
      </c>
      <c r="F5" t="str">
        <v>Not Run</v>
      </c>
      <c r="G5" t="str">
        <v/>
      </c>
      <c r="H5" t="str">
        <v/>
      </c>
      <c r="I5" t="str">
        <v/>
      </c>
      <c r="J5" t="str">
        <v/>
      </c>
    </row>
    <row r="6" ht="72" customHeight="1">
      <c r="A6" t="str">
        <v>LOGIN-005</v>
      </c>
      <c r="B6" t="str">
        <v>Prevents login for the locked-out demo account</v>
      </c>
      <c r="C6" t="str">
        <v>Enter locked_out_user and secret_sauce, then click Login.</v>
      </c>
      <c r="D6" t="str">
        <v>Stay on login URL; accessible alert says “Epic sadface: Sorry, this user has been locked out.”; no authenticated session.</v>
      </c>
      <c r="E6" t="str">
        <v>tests/login-page/locked-out-user.spec.ts</v>
      </c>
      <c r="F6" t="str">
        <v>Not Run</v>
      </c>
      <c r="G6" t="str">
        <v/>
      </c>
      <c r="H6" t="str">
        <v/>
      </c>
      <c r="I6" t="str">
        <v/>
      </c>
      <c r="J6" t="str">
        <v/>
      </c>
    </row>
    <row r="7" ht="72" customHeight="1">
      <c r="A7" t="str">
        <v>LOGIN-006</v>
      </c>
      <c r="B7" t="str">
        <v>Logs in with the standard demo account</v>
      </c>
      <c r="C7" t="str">
        <v>Enter standard_user and secret_sauce, then click Login.</v>
      </c>
      <c r="D7" t="str">
        <v>Navigate to https://www.saucedemo.com/inventory.html; Products heading and authenticated inventory controls are visible.</v>
      </c>
      <c r="E7" t="str">
        <v>tests/login-page/successful-login.spec.ts</v>
      </c>
      <c r="F7" t="str">
        <v>Not Run</v>
      </c>
      <c r="G7" t="str">
        <v/>
      </c>
      <c r="H7" t="str">
        <v/>
      </c>
      <c r="I7" t="str">
        <v/>
      </c>
      <c r="J7" t="str">
        <v/>
      </c>
    </row>
    <row r="8" ht="72" customHeight="1">
      <c r="A8" t="str">
        <v>LOGIN-007</v>
      </c>
      <c r="B8" t="str">
        <v>Submits valid credentials with the Enter key</v>
      </c>
      <c r="C8" t="str">
        <v>Enter standard_user and secret_sauce, then press Enter in the Password field.</v>
      </c>
      <c r="D8" t="str">
        <v>Form submits without clicking Login; navigate to /inventory.html.</v>
      </c>
      <c r="E8" t="str">
        <v>tests/login-page/keyboard-login.spec.ts</v>
      </c>
      <c r="F8" t="str">
        <v>Not Run</v>
      </c>
      <c r="G8" t="str">
        <v/>
      </c>
      <c r="H8" t="str">
        <v/>
      </c>
      <c r="I8" t="str">
        <v/>
      </c>
      <c r="J8" t="str">
        <v/>
      </c>
    </row>
    <row r="9" ht="72" customHeight="1">
      <c r="A9" t="str">
        <v>LOGIN-008</v>
      </c>
      <c r="B9" t="str">
        <v>Authenticates each listed non-locked demo account</v>
      </c>
      <c r="C9" t="str">
        <v>With a fresh browser context for each, submit standard_user, problem_user, performance_glitch_user, error_user, and visual_user with secret_sauce.</v>
      </c>
      <c r="D9" t="str">
        <v>Each non-locked account reaches /inventory.html; locked_out_user is covered separately.</v>
      </c>
      <c r="E9" t="str">
        <v>tests/login-page/accepted-accounts.spec.ts</v>
      </c>
      <c r="F9" t="str">
        <v>Not Run</v>
      </c>
      <c r="G9" t="str">
        <v/>
      </c>
      <c r="H9" t="str">
        <v/>
      </c>
      <c r="I9" t="str">
        <v/>
      </c>
      <c r="J9" t="str">
        <v/>
      </c>
    </row>
  </sheetData>
  <autoFilter ref="A1:J9"/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Test Plan</dc:creator>
  <dc:subject>Live execution tracker for Sauce Demo login test scenarios</dc:subject>
  <dc:title>Sauce Demo Login Test Tracker</dc:title>
</cp:coreProperties>
</file>